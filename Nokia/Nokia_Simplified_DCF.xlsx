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gaco4625_colorado_edu/Documents/"/>
    </mc:Choice>
  </mc:AlternateContent>
  <xr:revisionPtr revIDLastSave="0" documentId="8_{D02D72C8-D2C3-4C7B-97CD-C73DC99E7266}" xr6:coauthVersionLast="47" xr6:coauthVersionMax="47" xr10:uidLastSave="{00000000-0000-0000-0000-000000000000}"/>
  <bookViews>
    <workbookView xWindow="3220" yWindow="1820" windowWidth="16800" windowHeight="9670" xr2:uid="{00000000-000D-0000-FFFF-FFFF00000000}"/>
  </bookViews>
  <sheets>
    <sheet name="Nokia DCF No AD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6" i="1" l="1"/>
  <c r="B44" i="1"/>
  <c r="G35" i="1"/>
  <c r="F35" i="1"/>
  <c r="E35" i="1"/>
  <c r="D35" i="1"/>
  <c r="C35" i="1"/>
  <c r="B35" i="1"/>
  <c r="B28" i="1"/>
  <c r="B31" i="1" s="1"/>
  <c r="C28" i="1" l="1"/>
  <c r="B32" i="1"/>
  <c r="B29" i="1"/>
  <c r="B30" i="1" s="1"/>
  <c r="B34" i="1" s="1"/>
  <c r="B36" i="1" s="1"/>
  <c r="C31" i="1" l="1"/>
  <c r="C29" i="1"/>
  <c r="C30" i="1" s="1"/>
  <c r="C33" i="1"/>
  <c r="D28" i="1"/>
  <c r="C32" i="1"/>
  <c r="C34" i="1" l="1"/>
  <c r="C36" i="1" s="1"/>
  <c r="D33" i="1"/>
  <c r="D32" i="1"/>
  <c r="D29" i="1"/>
  <c r="D30" i="1" s="1"/>
  <c r="D31" i="1"/>
  <c r="E28" i="1"/>
  <c r="E31" i="1" l="1"/>
  <c r="E29" i="1"/>
  <c r="E30" i="1" s="1"/>
  <c r="E32" i="1"/>
  <c r="F28" i="1"/>
  <c r="E33" i="1"/>
  <c r="D34" i="1"/>
  <c r="D36" i="1" s="1"/>
  <c r="F32" i="1" l="1"/>
  <c r="F33" i="1"/>
  <c r="G28" i="1"/>
  <c r="F31" i="1"/>
  <c r="F29" i="1"/>
  <c r="F30" i="1" s="1"/>
  <c r="E34" i="1"/>
  <c r="E36" i="1" s="1"/>
  <c r="F34" i="1" l="1"/>
  <c r="F36" i="1" s="1"/>
  <c r="G29" i="1"/>
  <c r="G30" i="1" s="1"/>
  <c r="G31" i="1"/>
  <c r="G33" i="1"/>
  <c r="G32" i="1"/>
  <c r="G34" i="1" l="1"/>
  <c r="G36" i="1" s="1"/>
  <c r="B39" i="1" s="1"/>
  <c r="B40" i="1" l="1"/>
  <c r="B41" i="1" s="1"/>
  <c r="B42" i="1" s="1"/>
  <c r="B43" i="1" s="1"/>
  <c r="B45" i="1" s="1"/>
  <c r="B47" i="1" s="1"/>
</calcChain>
</file>

<file path=xl/sharedStrings.xml><?xml version="1.0" encoding="utf-8"?>
<sst xmlns="http://schemas.openxmlformats.org/spreadsheetml/2006/main" count="38" uniqueCount="34">
  <si>
    <t>Professional Nokia DCF Valuation Model (No ADR Adjustment)</t>
  </si>
  <si>
    <t>Core Assumptions</t>
  </si>
  <si>
    <t>Revenue Growth</t>
  </si>
  <si>
    <t>EBIT Margin</t>
  </si>
  <si>
    <t>Tax Rate</t>
  </si>
  <si>
    <t>CapEx % Revenue</t>
  </si>
  <si>
    <t>D&amp;A % Revenue</t>
  </si>
  <si>
    <t>NWC % Revenue</t>
  </si>
  <si>
    <t>WACC</t>
  </si>
  <si>
    <t>Terminal Growth</t>
  </si>
  <si>
    <t>Net Cash (€B)</t>
  </si>
  <si>
    <t>Diluted Shares Outstanding (B)</t>
  </si>
  <si>
    <t>Starting Revenue (€B)</t>
  </si>
  <si>
    <t>Historical Financials (€B)</t>
  </si>
  <si>
    <t>Revenue</t>
  </si>
  <si>
    <t>EBIT</t>
  </si>
  <si>
    <t>FCF</t>
  </si>
  <si>
    <t>DCF Forecast</t>
  </si>
  <si>
    <t>NOPAT</t>
  </si>
  <si>
    <t>D&amp;A</t>
  </si>
  <si>
    <t>CapEx</t>
  </si>
  <si>
    <t>Change in NWC</t>
  </si>
  <si>
    <t>Unlevered FCF</t>
  </si>
  <si>
    <t>Discount Factor</t>
  </si>
  <si>
    <t>Present Value</t>
  </si>
  <si>
    <t>Valuation Output</t>
  </si>
  <si>
    <t>PV of Forecast FCF (€B)</t>
  </si>
  <si>
    <t>Terminal FCF (€B)</t>
  </si>
  <si>
    <t>Terminal Value (€B)</t>
  </si>
  <si>
    <t>PV of Terminal Value (€B)</t>
  </si>
  <si>
    <t>Enterprise Value (€B)</t>
  </si>
  <si>
    <t>Add Net Cash (€B)</t>
  </si>
  <si>
    <t>Equity Value (€B)</t>
  </si>
  <si>
    <t>Implied Value Per Share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</si>
</sst>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2" fontId="0" fillId="0" borderId="0" xfId="0" applyNumberFormat="1"/>
    <xf numFmtId="2" fontId="3" fillId="3" borderId="0" xfId="0" applyNumberFormat="1" applyFont="1" applyFill="1"/>
    <xf numFmtId="0" fontId="3" fillId="0" borderId="0" xfId="0" applyFont="1"/>
    <xf numFmtId="1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zoomScale="98" workbookViewId="0">
      <selection activeCell="C31" sqref="C31"/>
    </sheetView>
  </sheetViews>
  <sheetFormatPr defaultRowHeight="14.45"/>
  <cols>
    <col min="1" max="8" width="24" customWidth="1"/>
  </cols>
  <sheetData>
    <row r="1" spans="1:2" ht="21">
      <c r="A1" s="1" t="s">
        <v>0</v>
      </c>
    </row>
    <row r="3" spans="1:2">
      <c r="A3" s="2" t="s">
        <v>1</v>
      </c>
    </row>
    <row r="4" spans="1:2">
      <c r="A4" t="s">
        <v>2</v>
      </c>
      <c r="B4" s="3">
        <v>0.04</v>
      </c>
    </row>
    <row r="5" spans="1:2">
      <c r="A5" t="s">
        <v>3</v>
      </c>
      <c r="B5" s="3">
        <v>0.12</v>
      </c>
    </row>
    <row r="6" spans="1:2">
      <c r="A6" t="s">
        <v>4</v>
      </c>
      <c r="B6" s="3">
        <v>0.2</v>
      </c>
    </row>
    <row r="7" spans="1:2">
      <c r="A7" t="s">
        <v>5</v>
      </c>
      <c r="B7" s="3">
        <v>3.5000000000000003E-2</v>
      </c>
    </row>
    <row r="8" spans="1:2">
      <c r="A8" t="s">
        <v>6</v>
      </c>
      <c r="B8" s="3">
        <v>2.5000000000000001E-2</v>
      </c>
    </row>
    <row r="9" spans="1:2">
      <c r="A9" t="s">
        <v>7</v>
      </c>
      <c r="B9" s="3">
        <v>0.01</v>
      </c>
    </row>
    <row r="10" spans="1:2">
      <c r="A10" t="s">
        <v>8</v>
      </c>
      <c r="B10" s="3">
        <v>8.5000000000000006E-2</v>
      </c>
    </row>
    <row r="11" spans="1:2">
      <c r="A11" t="s">
        <v>9</v>
      </c>
      <c r="B11" s="3">
        <v>2.5000000000000001E-2</v>
      </c>
    </row>
    <row r="12" spans="1:2">
      <c r="A12" t="s">
        <v>10</v>
      </c>
      <c r="B12" s="3">
        <v>5.5</v>
      </c>
    </row>
    <row r="13" spans="1:2">
      <c r="A13" t="s">
        <v>11</v>
      </c>
      <c r="B13" s="3">
        <v>5.6</v>
      </c>
    </row>
    <row r="14" spans="1:2">
      <c r="A14" t="s">
        <v>12</v>
      </c>
      <c r="B14" s="3">
        <v>24</v>
      </c>
    </row>
    <row r="18" spans="1:7">
      <c r="A18" s="2" t="s">
        <v>13</v>
      </c>
      <c r="B18" s="4">
        <v>2022</v>
      </c>
      <c r="C18" s="4">
        <v>2023</v>
      </c>
      <c r="D18" s="4">
        <v>2024</v>
      </c>
    </row>
    <row r="19" spans="1:7">
      <c r="A19" s="5" t="s">
        <v>14</v>
      </c>
      <c r="B19" s="3">
        <v>24.9</v>
      </c>
      <c r="C19" s="3">
        <v>24.7</v>
      </c>
      <c r="D19" s="3">
        <v>24</v>
      </c>
    </row>
    <row r="20" spans="1:7">
      <c r="A20" s="5" t="s">
        <v>15</v>
      </c>
      <c r="B20" s="3">
        <v>2.9</v>
      </c>
      <c r="C20" s="3">
        <v>3</v>
      </c>
      <c r="D20" s="3">
        <v>2.8</v>
      </c>
    </row>
    <row r="21" spans="1:7">
      <c r="A21" s="5" t="s">
        <v>16</v>
      </c>
      <c r="B21" s="3">
        <v>1.6</v>
      </c>
      <c r="C21" s="3">
        <v>1.8</v>
      </c>
      <c r="D21" s="3">
        <v>1.7</v>
      </c>
    </row>
    <row r="22" spans="1:7">
      <c r="A22" s="5" t="s">
        <v>3</v>
      </c>
      <c r="B22" s="3">
        <v>0.11600000000000001</v>
      </c>
      <c r="C22" s="3">
        <v>0.121</v>
      </c>
      <c r="D22" s="3">
        <v>0.11700000000000001</v>
      </c>
    </row>
    <row r="26" spans="1:7" ht="15"/>
    <row r="27" spans="1:7" ht="15">
      <c r="A27" s="2" t="s">
        <v>17</v>
      </c>
      <c r="B27" s="6">
        <v>2025</v>
      </c>
      <c r="C27" s="6">
        <v>2026</v>
      </c>
      <c r="D27" s="6">
        <v>2027</v>
      </c>
      <c r="E27" s="6">
        <v>2028</v>
      </c>
      <c r="F27" s="6">
        <v>2029</v>
      </c>
      <c r="G27" s="6">
        <v>2030</v>
      </c>
    </row>
    <row r="28" spans="1:7">
      <c r="A28" s="5" t="s">
        <v>14</v>
      </c>
      <c r="B28">
        <f>B14</f>
        <v>24</v>
      </c>
      <c r="C28">
        <f>B28*(1+$B$4)</f>
        <v>24.96</v>
      </c>
      <c r="D28">
        <f>C28*(1+$B$4)</f>
        <v>25.958400000000001</v>
      </c>
      <c r="E28">
        <f>D28*(1+$B$4)</f>
        <v>26.996736000000002</v>
      </c>
      <c r="F28">
        <f>E28*(1+$B$4)</f>
        <v>28.076605440000002</v>
      </c>
      <c r="G28">
        <f>F28*(1+$B$4)</f>
        <v>29.199669657600001</v>
      </c>
    </row>
    <row r="29" spans="1:7">
      <c r="A29" s="5" t="s">
        <v>15</v>
      </c>
      <c r="B29" s="3">
        <f t="shared" ref="B29:G29" si="0">B28*$B$5</f>
        <v>2.88</v>
      </c>
      <c r="C29" s="3">
        <f t="shared" si="0"/>
        <v>2.9952000000000001</v>
      </c>
      <c r="D29" s="3">
        <f t="shared" si="0"/>
        <v>3.115008</v>
      </c>
      <c r="E29" s="3">
        <f t="shared" si="0"/>
        <v>3.2396083200000003</v>
      </c>
      <c r="F29" s="3">
        <f t="shared" si="0"/>
        <v>3.3691926528000002</v>
      </c>
      <c r="G29">
        <f t="shared" si="0"/>
        <v>3.5039603589119999</v>
      </c>
    </row>
    <row r="30" spans="1:7">
      <c r="A30" s="5" t="s">
        <v>18</v>
      </c>
      <c r="B30" s="3">
        <f t="shared" ref="B30:G30" si="1">B29*(1-$B$6)</f>
        <v>2.3039999999999998</v>
      </c>
      <c r="C30" s="3">
        <f t="shared" si="1"/>
        <v>2.3961600000000001</v>
      </c>
      <c r="D30" s="3">
        <f t="shared" si="1"/>
        <v>2.4920064000000002</v>
      </c>
      <c r="E30" s="3">
        <f t="shared" si="1"/>
        <v>2.5916866560000003</v>
      </c>
      <c r="F30" s="3">
        <f t="shared" si="1"/>
        <v>2.6953541222400004</v>
      </c>
      <c r="G30">
        <f t="shared" si="1"/>
        <v>2.8031682871296</v>
      </c>
    </row>
    <row r="31" spans="1:7">
      <c r="A31" s="5" t="s">
        <v>19</v>
      </c>
      <c r="B31">
        <f t="shared" ref="B31:G31" si="2">B28*$B$8</f>
        <v>0.60000000000000009</v>
      </c>
      <c r="C31" s="3">
        <f t="shared" si="2"/>
        <v>0.62400000000000011</v>
      </c>
      <c r="D31" s="3">
        <f t="shared" si="2"/>
        <v>0.64896000000000009</v>
      </c>
      <c r="E31" s="3">
        <f t="shared" si="2"/>
        <v>0.67491840000000014</v>
      </c>
      <c r="F31" s="3">
        <f t="shared" si="2"/>
        <v>0.70191513600000011</v>
      </c>
      <c r="G31">
        <f t="shared" si="2"/>
        <v>0.72999174144000012</v>
      </c>
    </row>
    <row r="32" spans="1:7">
      <c r="A32" s="5" t="s">
        <v>20</v>
      </c>
      <c r="B32">
        <f t="shared" ref="B32:G32" si="3">B28*$B$7</f>
        <v>0.84000000000000008</v>
      </c>
      <c r="C32" s="3">
        <f t="shared" si="3"/>
        <v>0.87360000000000015</v>
      </c>
      <c r="D32" s="3">
        <f t="shared" si="3"/>
        <v>0.90854400000000013</v>
      </c>
      <c r="E32" s="3">
        <f t="shared" si="3"/>
        <v>0.94488576000000013</v>
      </c>
      <c r="F32" s="3">
        <f t="shared" si="3"/>
        <v>0.98268119040000013</v>
      </c>
      <c r="G32">
        <f t="shared" si="3"/>
        <v>1.021988438016</v>
      </c>
    </row>
    <row r="33" spans="1:7">
      <c r="A33" s="5" t="s">
        <v>21</v>
      </c>
      <c r="B33" s="3">
        <v>0</v>
      </c>
      <c r="C33" s="3">
        <f>(C28-B28)*$B$9</f>
        <v>9.6000000000000096E-3</v>
      </c>
      <c r="D33" s="3">
        <f>(D28-C28)*$B$9</f>
        <v>9.9840000000000016E-3</v>
      </c>
      <c r="E33" s="3">
        <f>(E28-D28)*$B$9</f>
        <v>1.038336000000001E-2</v>
      </c>
      <c r="F33" s="3">
        <f>(F28-E28)*$B$9</f>
        <v>1.0798694399999996E-2</v>
      </c>
      <c r="G33">
        <f>(G28-F28)*$B$9</f>
        <v>1.1230642175999997E-2</v>
      </c>
    </row>
    <row r="34" spans="1:7">
      <c r="A34" s="5" t="s">
        <v>22</v>
      </c>
      <c r="B34">
        <f t="shared" ref="B34:G34" si="4">B30+B31-B32-B33</f>
        <v>2.0640000000000001</v>
      </c>
      <c r="C34" s="3">
        <f t="shared" si="4"/>
        <v>2.1369600000000002</v>
      </c>
      <c r="D34" s="3">
        <f t="shared" si="4"/>
        <v>2.2224384000000001</v>
      </c>
      <c r="E34" s="3">
        <f t="shared" si="4"/>
        <v>2.3113359360000003</v>
      </c>
      <c r="F34" s="3">
        <f t="shared" si="4"/>
        <v>2.4037893734400004</v>
      </c>
      <c r="G34">
        <f t="shared" si="4"/>
        <v>2.4999409483776001</v>
      </c>
    </row>
    <row r="35" spans="1:7">
      <c r="A35" s="5" t="s">
        <v>23</v>
      </c>
      <c r="B35" s="3">
        <f>1/(1+$B$10)^1</f>
        <v>0.92165898617511521</v>
      </c>
      <c r="C35" s="3">
        <f>1/(1+$B$10)^2</f>
        <v>0.84945528679734128</v>
      </c>
      <c r="D35" s="3">
        <f>1/(1+$B$10)^3</f>
        <v>0.78290809843072917</v>
      </c>
      <c r="E35" s="3">
        <f>1/(1+$B$10)^4</f>
        <v>0.72157428426795334</v>
      </c>
      <c r="F35" s="3">
        <f>1/(1+$B$10)^5</f>
        <v>0.66504542328843619</v>
      </c>
      <c r="G35">
        <f>1/(1+$B$10)^6</f>
        <v>0.6129450905884205</v>
      </c>
    </row>
    <row r="36" spans="1:7">
      <c r="A36" s="5" t="s">
        <v>24</v>
      </c>
      <c r="B36" s="3">
        <f t="shared" ref="B36:G36" si="5">B34*B35</f>
        <v>1.9023041474654379</v>
      </c>
      <c r="C36" s="3">
        <f t="shared" si="5"/>
        <v>1.8152519696744467</v>
      </c>
      <c r="D36" s="3">
        <f t="shared" si="5"/>
        <v>1.7399650216234324</v>
      </c>
      <c r="E36" s="3">
        <f t="shared" si="5"/>
        <v>1.6678005737220003</v>
      </c>
      <c r="F36" s="3">
        <f t="shared" si="5"/>
        <v>1.5986291213556498</v>
      </c>
      <c r="G36">
        <f t="shared" si="5"/>
        <v>1.53232653106901</v>
      </c>
    </row>
    <row r="38" spans="1:7">
      <c r="A38" s="2" t="s">
        <v>25</v>
      </c>
    </row>
    <row r="39" spans="1:7">
      <c r="A39" s="5" t="s">
        <v>26</v>
      </c>
      <c r="B39" s="3">
        <f>SUM(B36:G36)</f>
        <v>10.256277364909977</v>
      </c>
    </row>
    <row r="40" spans="1:7">
      <c r="A40" s="5" t="s">
        <v>27</v>
      </c>
      <c r="B40" s="3">
        <f>G34*(1+$B$11)</f>
        <v>2.56243947208704</v>
      </c>
    </row>
    <row r="41" spans="1:7">
      <c r="A41" s="5" t="s">
        <v>28</v>
      </c>
      <c r="B41" s="3">
        <f>B40/($B$10-$B$11)</f>
        <v>42.707324534784</v>
      </c>
    </row>
    <row r="42" spans="1:7">
      <c r="A42" s="5" t="s">
        <v>29</v>
      </c>
      <c r="B42" s="3">
        <f>B41*G35</f>
        <v>26.177244905762251</v>
      </c>
    </row>
    <row r="43" spans="1:7">
      <c r="A43" s="5" t="s">
        <v>30</v>
      </c>
      <c r="B43" s="3">
        <f>B39+B42</f>
        <v>36.433522270672228</v>
      </c>
    </row>
    <row r="44" spans="1:7">
      <c r="A44" s="5" t="s">
        <v>31</v>
      </c>
      <c r="B44" s="3">
        <f>$B$12</f>
        <v>5.5</v>
      </c>
    </row>
    <row r="45" spans="1:7">
      <c r="A45" s="5" t="s">
        <v>32</v>
      </c>
      <c r="B45" s="3">
        <f>B43+B44</f>
        <v>41.933522270672228</v>
      </c>
    </row>
    <row r="46" spans="1:7">
      <c r="A46" s="5" t="s">
        <v>11</v>
      </c>
      <c r="B46" s="3">
        <f>$B$13</f>
        <v>5.6</v>
      </c>
    </row>
    <row r="47" spans="1:7">
      <c r="A47" s="5" t="s">
        <v>33</v>
      </c>
      <c r="B47" s="3">
        <f>B45/B46</f>
        <v>7.4881289769057551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6B7633C134545BF23BF4EF4777B47" ma:contentTypeVersion="8" ma:contentTypeDescription="Create a new document." ma:contentTypeScope="" ma:versionID="60d00ca9054a302668a219d8df7f159d">
  <xsd:schema xmlns:xsd="http://www.w3.org/2001/XMLSchema" xmlns:xs="http://www.w3.org/2001/XMLSchema" xmlns:p="http://schemas.microsoft.com/office/2006/metadata/properties" xmlns:ns3="a1d2a30f-c090-42d2-a1fe-38dddbdd732d" targetNamespace="http://schemas.microsoft.com/office/2006/metadata/properties" ma:root="true" ma:fieldsID="c3c9710ed575b7fcda6f313503b7ff0a" ns3:_="">
    <xsd:import namespace="a1d2a30f-c090-42d2-a1fe-38dddbdd73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2a30f-c090-42d2-a1fe-38dddbdd7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d2a30f-c090-42d2-a1fe-38dddbdd73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E46343-7EAF-49DD-84EE-3288992BB150}"/>
</file>

<file path=customXml/itemProps2.xml><?xml version="1.0" encoding="utf-8"?>
<ds:datastoreItem xmlns:ds="http://schemas.openxmlformats.org/officeDocument/2006/customXml" ds:itemID="{7589B6F4-CECD-491D-9F78-75DD10E5E803}"/>
</file>

<file path=customXml/itemProps3.xml><?xml version="1.0" encoding="utf-8"?>
<ds:datastoreItem xmlns:ds="http://schemas.openxmlformats.org/officeDocument/2006/customXml" ds:itemID="{C53F6578-5E77-49BA-A29D-56EA51D3D766}"/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2026-05-23T23:31:24Z</dcterms:created>
  <dcterms:modified xsi:type="dcterms:W3CDTF">2026-05-23T23:40:59Z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0x010100E076B7633C134545BF23BF4EF4777B47</vt:lpwstr>
  </property>
</Properties>
</file>